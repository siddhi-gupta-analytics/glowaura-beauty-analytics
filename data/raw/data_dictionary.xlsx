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 Dictionary" sheetId="2" state="visible" r:id="rId4"/>
    <sheet name="Relationships" sheetId="3" state="visible" r:id="rId5"/>
    <sheet name="Issue Summary" sheetId="4" state="visible" r:id="rId6"/>
  </sheets>
  <definedNames>
    <definedName function="false" hidden="true" localSheetId="1" name="_xlnm._FilterDatabase" vbProcedure="false">'Data Dictionary'!$A$1:$F$55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<sst xmlns="http://schemas.openxmlformats.org/spreadsheetml/2006/main" count="386" uniqueCount="230">
  <si>
    <t xml:space="preserve">GlowAura Beauty - Raw Data Dictionary</t>
  </si>
  <si>
    <t xml:space="preserve">Fictional Indian beauty and cosmetics retailer selling skincare, makeup, haircare, fragrance and bath &amp; body products.</t>
  </si>
  <si>
    <t xml:space="preserve">Data period: Jan 2024 - Dec 2026. Currency: INR. Channels: online (shipped from 3 fulfilment hubs) and offline (25 retail stores).</t>
  </si>
  <si>
    <t xml:space="preserve">All 6 files are RAW exports and contain intentional data-quality problems. Clean them in Excel, SQL and Python before analysis.</t>
  </si>
  <si>
    <t xml:space="preserve">Data is synthetic and created for a portfolio project; names, emails and phone numbers are not real.</t>
  </si>
  <si>
    <t xml:space="preserve">A blank campaign_id in orders is valid (the order was not linked to any campaign); it is not an error.</t>
  </si>
  <si>
    <t xml:space="preserve">Table</t>
  </si>
  <si>
    <t xml:space="preserve">File name</t>
  </si>
  <si>
    <t xml:space="preserve">Raw rows (incl. problems)</t>
  </si>
  <si>
    <t xml:space="preserve">One row represents</t>
  </si>
  <si>
    <t xml:space="preserve">Primary key</t>
  </si>
  <si>
    <t xml:space="preserve">Customers</t>
  </si>
  <si>
    <t xml:space="preserve">customers_raw.csv</t>
  </si>
  <si>
    <t xml:space="preserve">One registered customer</t>
  </si>
  <si>
    <t xml:space="preserve">customer_id</t>
  </si>
  <si>
    <t xml:space="preserve">Products</t>
  </si>
  <si>
    <t xml:space="preserve">products_raw.csv</t>
  </si>
  <si>
    <t xml:space="preserve">One product (SKU)</t>
  </si>
  <si>
    <t xml:space="preserve">product_id</t>
  </si>
  <si>
    <t xml:space="preserve">Stores</t>
  </si>
  <si>
    <t xml:space="preserve">stores_raw.csv</t>
  </si>
  <si>
    <t xml:space="preserve">One retail store or fulfilment hub</t>
  </si>
  <si>
    <t xml:space="preserve">store_id</t>
  </si>
  <si>
    <t xml:space="preserve">Marketing_Campaigns</t>
  </si>
  <si>
    <t xml:space="preserve">marketing_campaigns_raw.csv</t>
  </si>
  <si>
    <t xml:space="preserve">One marketing campaign</t>
  </si>
  <si>
    <t xml:space="preserve">campaign_id</t>
  </si>
  <si>
    <t xml:space="preserve">Orders</t>
  </si>
  <si>
    <t xml:space="preserve">orders_raw.csv</t>
  </si>
  <si>
    <t xml:space="preserve">One customer order</t>
  </si>
  <si>
    <t xml:space="preserve">order_id</t>
  </si>
  <si>
    <t xml:space="preserve">Order_Details</t>
  </si>
  <si>
    <t xml:space="preserve">order_details_raw.csv</t>
  </si>
  <si>
    <t xml:space="preserve">One product line within an order</t>
  </si>
  <si>
    <t xml:space="preserve">order_detail_id</t>
  </si>
  <si>
    <t xml:space="preserve">Total raw rows</t>
  </si>
  <si>
    <t xml:space="preserve">Note: row counts come from the generated files. Files are UTF-8 with BOM so the rupee symbol shows correctly in Excel.</t>
  </si>
  <si>
    <t xml:space="preserve">Column</t>
  </si>
  <si>
    <t xml:space="preserve">Intended data type</t>
  </si>
  <si>
    <t xml:space="preserve">Description</t>
  </si>
  <si>
    <t xml:space="preserve">Key</t>
  </si>
  <si>
    <t xml:space="preserve">Valid values / business rules</t>
  </si>
  <si>
    <t xml:space="preserve">Text</t>
  </si>
  <si>
    <t xml:space="preserve">Unique customer ID, e.g. C0001</t>
  </si>
  <si>
    <t xml:space="preserve">PK</t>
  </si>
  <si>
    <t xml:space="preserve">Format C + 4 digits</t>
  </si>
  <si>
    <t xml:space="preserve">customer_name</t>
  </si>
  <si>
    <t xml:space="preserve">Customer full name</t>
  </si>
  <si>
    <t xml:space="preserve">Title Case, no extra spaces</t>
  </si>
  <si>
    <t xml:space="preserve">gender</t>
  </si>
  <si>
    <t xml:space="preserve">Customer gender</t>
  </si>
  <si>
    <t xml:space="preserve">Female, Male, Other</t>
  </si>
  <si>
    <t xml:space="preserve">age</t>
  </si>
  <si>
    <t xml:space="preserve">Integer</t>
  </si>
  <si>
    <t xml:space="preserve">Age in years</t>
  </si>
  <si>
    <t xml:space="preserve">Expected 18-65</t>
  </si>
  <si>
    <t xml:space="preserve">email</t>
  </si>
  <si>
    <t xml:space="preserve">Customer email address</t>
  </si>
  <si>
    <t xml:space="preserve">Lowercase, valid format with @ and domain</t>
  </si>
  <si>
    <t xml:space="preserve">phone</t>
  </si>
  <si>
    <t xml:space="preserve">10-digit Indian mobile number</t>
  </si>
  <si>
    <t xml:space="preserve">10 digits, starts with 6-9, no country code or spaces</t>
  </si>
  <si>
    <t xml:space="preserve">city</t>
  </si>
  <si>
    <t xml:space="preserve">City of residence</t>
  </si>
  <si>
    <t xml:space="preserve">One standard spelling per city (e.g. Mumbai, Bengaluru, Delhi, Kolkata, Chennai)</t>
  </si>
  <si>
    <t xml:space="preserve">state</t>
  </si>
  <si>
    <t xml:space="preserve">State of residence</t>
  </si>
  <si>
    <t xml:space="preserve">Must be consistent with city</t>
  </si>
  <si>
    <t xml:space="preserve">signup_date</t>
  </si>
  <si>
    <t xml:space="preserve">Date</t>
  </si>
  <si>
    <t xml:space="preserve">Date the customer registered</t>
  </si>
  <si>
    <t xml:space="preserve">Between 2023-01-01 and 2026-12-31</t>
  </si>
  <si>
    <t xml:space="preserve">loyalty_tier</t>
  </si>
  <si>
    <t xml:space="preserve">Loyalty tier based on lifetime spend</t>
  </si>
  <si>
    <t xml:space="preserve">Bronze, Silver, Gold, Platinum</t>
  </si>
  <si>
    <t xml:space="preserve">acquisition_channel</t>
  </si>
  <si>
    <t xml:space="preserve">How the customer was acquired</t>
  </si>
  <si>
    <t xml:space="preserve">Organic, Instagram, Google Ads, Referral, Influencer, Offline Walk-in, Email, TV/OTT</t>
  </si>
  <si>
    <t xml:space="preserve">Unique product ID, e.g. P001</t>
  </si>
  <si>
    <t xml:space="preserve">Format P + 3 digits</t>
  </si>
  <si>
    <t xml:space="preserve">product_name</t>
  </si>
  <si>
    <t xml:space="preserve">Product name</t>
  </si>
  <si>
    <t xml:space="preserve">Unique per product; no extra spaces; Title Case</t>
  </si>
  <si>
    <t xml:space="preserve">brand</t>
  </si>
  <si>
    <t xml:space="preserve">Brand of the product</t>
  </si>
  <si>
    <t xml:space="preserve">GlowAura, GlowAura Pure, DermaDew, Velvet Hue, Tresses &amp; Co, Aroma Luxe</t>
  </si>
  <si>
    <t xml:space="preserve">category</t>
  </si>
  <si>
    <t xml:space="preserve">Product category</t>
  </si>
  <si>
    <t xml:space="preserve">Skincare, Makeup, Haircare, Fragrance, Bath &amp; Body</t>
  </si>
  <si>
    <t xml:space="preserve">sub_category</t>
  </si>
  <si>
    <t xml:space="preserve">Product type within the category</t>
  </si>
  <si>
    <t xml:space="preserve">e.g. Face Wash, Serum, Lipstick, Shampoo, Perfume</t>
  </si>
  <si>
    <t xml:space="preserve">mrp</t>
  </si>
  <si>
    <t xml:space="preserve">Decimal (INR)</t>
  </si>
  <si>
    <t xml:space="preserve">Maximum retail price per unit</t>
  </si>
  <si>
    <t xml:space="preserve">Greater than 0; numeric only (no currency symbol)</t>
  </si>
  <si>
    <t xml:space="preserve">cost_price</t>
  </si>
  <si>
    <t xml:space="preserve">Cost to the company per unit</t>
  </si>
  <si>
    <t xml:space="preserve">Greater than 0 and lower than mrp; numeric only</t>
  </si>
  <si>
    <t xml:space="preserve">launch_date</t>
  </si>
  <si>
    <t xml:space="preserve">Date the product was launched</t>
  </si>
  <si>
    <t xml:space="preserve">Valid date, not in the future</t>
  </si>
  <si>
    <t xml:space="preserve">is_active</t>
  </si>
  <si>
    <t xml:space="preserve">Boolean</t>
  </si>
  <si>
    <t xml:space="preserve">Whether the product is currently sold</t>
  </si>
  <si>
    <t xml:space="preserve">TRUE or FALSE</t>
  </si>
  <si>
    <t xml:space="preserve">Unique store ID, e.g. S01</t>
  </si>
  <si>
    <t xml:space="preserve">S01-S25 retail stores, S26-S28 fulfilment hubs</t>
  </si>
  <si>
    <t xml:space="preserve">store_name</t>
  </si>
  <si>
    <t xml:space="preserve">Store or hub name</t>
  </si>
  <si>
    <t xml:space="preserve">store_type</t>
  </si>
  <si>
    <t xml:space="preserve">Type of location</t>
  </si>
  <si>
    <t xml:space="preserve">Flagship, High Street, Mall Kiosk, Warehouse</t>
  </si>
  <si>
    <t xml:space="preserve">City of the location</t>
  </si>
  <si>
    <t xml:space="preserve">One standard spelling per city</t>
  </si>
  <si>
    <t xml:space="preserve">State of the location</t>
  </si>
  <si>
    <t xml:space="preserve">region</t>
  </si>
  <si>
    <t xml:space="preserve">Sales region</t>
  </si>
  <si>
    <t xml:space="preserve">North, South, East, West, Central</t>
  </si>
  <si>
    <t xml:space="preserve">opening_date</t>
  </si>
  <si>
    <t xml:space="preserve">Date the location opened</t>
  </si>
  <si>
    <t xml:space="preserve">Valid date</t>
  </si>
  <si>
    <t xml:space="preserve">store_size_sqft</t>
  </si>
  <si>
    <t xml:space="preserve">Floor area in square feet</t>
  </si>
  <si>
    <t xml:space="preserve">Greater than 0; numeric only</t>
  </si>
  <si>
    <t xml:space="preserve">staff_count</t>
  </si>
  <si>
    <t xml:space="preserve">Number of staff</t>
  </si>
  <si>
    <t xml:space="preserve">Greater than 0</t>
  </si>
  <si>
    <t xml:space="preserve">Unique campaign ID, e.g. CMP001</t>
  </si>
  <si>
    <t xml:space="preserve">Format CMP + 3 digits</t>
  </si>
  <si>
    <t xml:space="preserve">campaign_name</t>
  </si>
  <si>
    <t xml:space="preserve">Campaign name including year</t>
  </si>
  <si>
    <t xml:space="preserve">channel</t>
  </si>
  <si>
    <t xml:space="preserve">Marketing channel</t>
  </si>
  <si>
    <t xml:space="preserve">Instagram, Google Ads, Influencer, Email, Festive Sale, In-Store Promo, TV/OTT</t>
  </si>
  <si>
    <t xml:space="preserve">start_date</t>
  </si>
  <si>
    <t xml:space="preserve">Campaign start date</t>
  </si>
  <si>
    <t xml:space="preserve">end_date</t>
  </si>
  <si>
    <t xml:space="preserve">Campaign end date</t>
  </si>
  <si>
    <t xml:space="preserve">On or after start_date</t>
  </si>
  <si>
    <t xml:space="preserve">budget</t>
  </si>
  <si>
    <t xml:space="preserve">Total campaign spend</t>
  </si>
  <si>
    <t xml:space="preserve">target_category</t>
  </si>
  <si>
    <t xml:space="preserve">Product category the campaign promotes</t>
  </si>
  <si>
    <t xml:space="preserve">All or one product category</t>
  </si>
  <si>
    <t xml:space="preserve">target_audience</t>
  </si>
  <si>
    <t xml:space="preserve">Intended audience</t>
  </si>
  <si>
    <t xml:space="preserve">e.g. All Customers, Existing Customers, Women 18-30</t>
  </si>
  <si>
    <t xml:space="preserve">Unique order ID, e.g. O000001</t>
  </si>
  <si>
    <t xml:space="preserve">Format O + 6 digits</t>
  </si>
  <si>
    <t xml:space="preserve">Customer who placed the order</t>
  </si>
  <si>
    <t xml:space="preserve">FK -&gt; Customers</t>
  </si>
  <si>
    <t xml:space="preserve">Must exist in Customers</t>
  </si>
  <si>
    <t xml:space="preserve">Store of sale (offline) or fulfilment hub (online)</t>
  </si>
  <si>
    <t xml:space="preserve">FK -&gt; Stores</t>
  </si>
  <si>
    <t xml:space="preserve">Must exist in Stores</t>
  </si>
  <si>
    <t xml:space="preserve">order_date</t>
  </si>
  <si>
    <t xml:space="preserve">Date of the order</t>
  </si>
  <si>
    <t xml:space="preserve">Between 2024-01-01 and 2026-12-31</t>
  </si>
  <si>
    <t xml:space="preserve">Sales channel</t>
  </si>
  <si>
    <t xml:space="preserve">Online, Offline</t>
  </si>
  <si>
    <t xml:space="preserve">payment_method</t>
  </si>
  <si>
    <t xml:space="preserve">How the customer paid</t>
  </si>
  <si>
    <t xml:space="preserve">UPI, Credit Card, Debit Card, COD, Wallet, Net Banking, Cash</t>
  </si>
  <si>
    <t xml:space="preserve">Campaign the order is attributed to</t>
  </si>
  <si>
    <t xml:space="preserve">FK -&gt; Marketing_Campaigns</t>
  </si>
  <si>
    <t xml:space="preserve">Blank = no campaign (valid); otherwise must exist</t>
  </si>
  <si>
    <t xml:space="preserve">order_status</t>
  </si>
  <si>
    <t xml:space="preserve">Final status of the order</t>
  </si>
  <si>
    <t xml:space="preserve">Delivered, Cancelled, Returned</t>
  </si>
  <si>
    <t xml:space="preserve">shipping_fee</t>
  </si>
  <si>
    <t xml:space="preserve">Shipping charged to the customer</t>
  </si>
  <si>
    <t xml:space="preserve">Online orders below INR 499 pay 49; others 0; numeric only</t>
  </si>
  <si>
    <t xml:space="preserve">order_total</t>
  </si>
  <si>
    <t xml:space="preserve">Order value including shipping</t>
  </si>
  <si>
    <t xml:space="preserve">Equals sum of line_total of its details + shipping_fee; greater than 0</t>
  </si>
  <si>
    <t xml:space="preserve">Unique line ID, e.g. OD000001</t>
  </si>
  <si>
    <t xml:space="preserve">Format OD + 6 digits</t>
  </si>
  <si>
    <t xml:space="preserve">Parent order</t>
  </si>
  <si>
    <t xml:space="preserve">FK -&gt; Orders</t>
  </si>
  <si>
    <t xml:space="preserve">Must exist in Orders</t>
  </si>
  <si>
    <t xml:space="preserve">Product sold</t>
  </si>
  <si>
    <t xml:space="preserve">FK -&gt; Products</t>
  </si>
  <si>
    <t xml:space="preserve">Must exist in Products</t>
  </si>
  <si>
    <t xml:space="preserve">quantity</t>
  </si>
  <si>
    <t xml:space="preserve">Units sold on this line</t>
  </si>
  <si>
    <t xml:space="preserve">Whole number, 1 or more</t>
  </si>
  <si>
    <t xml:space="preserve">unit_price</t>
  </si>
  <si>
    <t xml:space="preserve">Price per unit at time of sale</t>
  </si>
  <si>
    <t xml:space="preserve">discount_pct</t>
  </si>
  <si>
    <t xml:space="preserve">Decimal</t>
  </si>
  <si>
    <t xml:space="preserve">Discount percentage on this line</t>
  </si>
  <si>
    <t xml:space="preserve">0-100 as a whole-number percent (20 means 20%), no % sign</t>
  </si>
  <si>
    <t xml:space="preserve">line_total</t>
  </si>
  <si>
    <t xml:space="preserve">Line value after discount</t>
  </si>
  <si>
    <t xml:space="preserve">quantity x unit_price x (1 - discount_pct/100)</t>
  </si>
  <si>
    <t xml:space="preserve">Parent table (one)</t>
  </si>
  <si>
    <t xml:space="preserve">Child table (many)</t>
  </si>
  <si>
    <t xml:space="preserve">Join column</t>
  </si>
  <si>
    <t xml:space="preserve">Note</t>
  </si>
  <si>
    <t xml:space="preserve">A customer can place many orders</t>
  </si>
  <si>
    <t xml:space="preserve">Offline orders use a retail store; online orders use a fulfilment hub</t>
  </si>
  <si>
    <t xml:space="preserve">Optional: many orders have no campaign</t>
  </si>
  <si>
    <t xml:space="preserve">An order has one or more product lines</t>
  </si>
  <si>
    <t xml:space="preserve">A product appears on many order lines</t>
  </si>
  <si>
    <t xml:space="preserve">Data-quality issues deliberately added to the raw files (aggregate counts only)</t>
  </si>
  <si>
    <t xml:space="preserve">Counts show how many cells or rows were affected, per table and issue type. They do not say where the issues are; finding them is part of the project.</t>
  </si>
  <si>
    <t xml:space="preserve">Issue type</t>
  </si>
  <si>
    <t xml:space="preserve">Total</t>
  </si>
  <si>
    <t xml:space="preserve">Inconsistent text / casing</t>
  </si>
  <si>
    <t xml:space="preserve">Numbers stored as text</t>
  </si>
  <si>
    <t xml:space="preserve">Mixed date formats</t>
  </si>
  <si>
    <t xml:space="preserve">Missing values</t>
  </si>
  <si>
    <t xml:space="preserve">Inconsistent formats</t>
  </si>
  <si>
    <t xml:space="preserve">Duplicate rows</t>
  </si>
  <si>
    <t xml:space="preserve">Invalid values</t>
  </si>
  <si>
    <t xml:space="preserve">Orphan keys (no matching parent)</t>
  </si>
  <si>
    <t xml:space="preserve">Outliers</t>
  </si>
  <si>
    <t xml:space="preserve">Calculation mismatch</t>
  </si>
  <si>
    <t xml:space="preserve">Issue type definitions</t>
  </si>
  <si>
    <t xml:space="preserve">Blank cells where a value is expected.</t>
  </si>
  <si>
    <t xml:space="preserve">Extra copies of rows (plus 5 products listed twice under different IDs).</t>
  </si>
  <si>
    <t xml:space="preserve">Same value written in different spellings, casing or with extra spaces.</t>
  </si>
  <si>
    <t xml:space="preserve">Same kind of value written in different formats (phone, discount, shipping).</t>
  </si>
  <si>
    <t xml:space="preserve">Dates written in several different formats instead of YYYY-MM-DD.</t>
  </si>
  <si>
    <t xml:space="preserve">Numbers with currency symbols, commas or unit words, so they behave as text.</t>
  </si>
  <si>
    <t xml:space="preserve">Impossible values (negative, zero, out-of-range, malformed, wrong dates).</t>
  </si>
  <si>
    <t xml:space="preserve">Extreme values far outside the normal range.</t>
  </si>
  <si>
    <t xml:space="preserve">IDs that do not exist in the parent table.</t>
  </si>
  <si>
    <t xml:space="preserve">line_total that does not match quantity x price x discount.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</si>
</sst>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B2D5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7B2D5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B2D5B"/>
        <bgColor rgb="FF993366"/>
      </patternFill>
    </fill>
    <fill>
      <patternFill patternType="solid">
        <fgColor rgb="FFF7EEF3"/>
        <bgColor rgb="FFFFFFFF"/>
      </patternFill>
    </fill>
    <fill>
      <patternFill patternType="solid">
        <fgColor rgb="FFEBD3E0"/>
        <bgColor rgb="FFD9C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3CF"/>
      </left>
      <right style="thin">
        <color rgb="FFD9C3CF"/>
      </right>
      <top style="thin">
        <color rgb="FFD9C3CF"/>
      </top>
      <bottom style="thin">
        <color rgb="FFD9C3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B2D5B"/>
          <bgColor rgb="FF000000"/>
        </patternFill>
      </fill>
    </dxf>
    <dxf>
      <fill>
        <patternFill patternType="solid">
          <fgColor rgb="FFF7EE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3CF"/>
      <rgbColor rgb="FF808080"/>
      <rgbColor rgb="FF9999FF"/>
      <rgbColor rgb="FF7B2D5B"/>
      <rgbColor rgb="FFF7EEF3"/>
      <rgbColor rgb="FFCCFFFF"/>
      <rgbColor rgb="FF660066"/>
      <rgbColor rgb="FFFF8080"/>
      <rgbColor rgb="FF0066CC"/>
      <rgbColor rgb="FFEB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</row>
    <row r="10" customFormat="false" ht="15" hidden="false" customHeight="false" outlineLevel="0" collapsed="false">
      <c r="A10" s="4" t="s">
        <v>11</v>
      </c>
      <c r="B10" s="4" t="s">
        <v>12</v>
      </c>
      <c r="C10" s="5" t="n">
        <v>2070</v>
      </c>
      <c r="D10" s="4" t="s">
        <v>13</v>
      </c>
      <c r="E10" s="4" t="s">
        <v>14</v>
      </c>
    </row>
    <row r="11" customFormat="false" ht="15" hidden="false" customHeight="false" outlineLevel="0" collapsed="false">
      <c r="A11" s="6" t="s">
        <v>15</v>
      </c>
      <c r="B11" s="6" t="s">
        <v>16</v>
      </c>
      <c r="C11" s="7" t="n">
        <v>304</v>
      </c>
      <c r="D11" s="6" t="s">
        <v>17</v>
      </c>
      <c r="E11" s="6" t="s">
        <v>18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5" t="n">
        <v>30</v>
      </c>
      <c r="D12" s="4" t="s">
        <v>21</v>
      </c>
      <c r="E12" s="4" t="s">
        <v>22</v>
      </c>
    </row>
    <row r="13" customFormat="false" ht="15" hidden="false" customHeight="false" outlineLevel="0" collapsed="false">
      <c r="A13" s="6" t="s">
        <v>23</v>
      </c>
      <c r="B13" s="6" t="s">
        <v>24</v>
      </c>
      <c r="C13" s="7" t="n">
        <v>31</v>
      </c>
      <c r="D13" s="6" t="s">
        <v>25</v>
      </c>
      <c r="E13" s="6" t="s">
        <v>26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5" t="n">
        <v>8092</v>
      </c>
      <c r="D14" s="4" t="s">
        <v>29</v>
      </c>
      <c r="E14" s="4" t="s">
        <v>30</v>
      </c>
    </row>
    <row r="15" customFormat="false" ht="15" hidden="false" customHeight="false" outlineLevel="0" collapsed="false">
      <c r="A15" s="6" t="s">
        <v>31</v>
      </c>
      <c r="B15" s="6" t="s">
        <v>32</v>
      </c>
      <c r="C15" s="7" t="n">
        <v>18921</v>
      </c>
      <c r="D15" s="6" t="s">
        <v>33</v>
      </c>
      <c r="E15" s="6" t="s">
        <v>34</v>
      </c>
    </row>
    <row r="16" customFormat="false" ht="15" hidden="false" customHeight="false" outlineLevel="0" collapsed="false">
      <c r="A16" s="8" t="s">
        <v>35</v>
      </c>
      <c r="C16" s="9" t="n">
        <f aca="false">SUM(C10:C15)</f>
        <v>29448</v>
      </c>
    </row>
    <row r="18" customFormat="false" ht="15" hidden="false" customHeight="false" outlineLevel="0" collapsed="false">
      <c r="A18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62"/>
  </cols>
  <sheetData>
    <row r="1" customFormat="false" ht="15" hidden="false" customHeight="false" outlineLevel="0" collapsed="false">
      <c r="A1" s="3" t="s">
        <v>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  <row r="2" customFormat="false" ht="15" hidden="false" customHeight="false" outlineLevel="0" collapsed="false">
      <c r="A2" s="4" t="s">
        <v>11</v>
      </c>
      <c r="B2" s="4" t="s">
        <v>14</v>
      </c>
      <c r="C2" s="4" t="s">
        <v>42</v>
      </c>
      <c r="D2" s="11" t="s">
        <v>43</v>
      </c>
      <c r="E2" s="4" t="s">
        <v>44</v>
      </c>
      <c r="F2" s="11" t="s">
        <v>45</v>
      </c>
    </row>
    <row r="3" customFormat="false" ht="15" hidden="false" customHeight="false" outlineLevel="0" collapsed="false">
      <c r="A3" s="6" t="s">
        <v>11</v>
      </c>
      <c r="B3" s="6" t="s">
        <v>46</v>
      </c>
      <c r="C3" s="6" t="s">
        <v>42</v>
      </c>
      <c r="D3" s="12" t="s">
        <v>47</v>
      </c>
      <c r="E3" s="6"/>
      <c r="F3" s="12" t="s">
        <v>48</v>
      </c>
    </row>
    <row r="4" customFormat="false" ht="15" hidden="false" customHeight="false" outlineLevel="0" collapsed="false">
      <c r="A4" s="4" t="s">
        <v>11</v>
      </c>
      <c r="B4" s="4" t="s">
        <v>49</v>
      </c>
      <c r="C4" s="4" t="s">
        <v>42</v>
      </c>
      <c r="D4" s="11" t="s">
        <v>50</v>
      </c>
      <c r="E4" s="4"/>
      <c r="F4" s="11" t="s">
        <v>51</v>
      </c>
    </row>
    <row r="5" customFormat="false" ht="15" hidden="false" customHeight="false" outlineLevel="0" collapsed="false">
      <c r="A5" s="6" t="s">
        <v>11</v>
      </c>
      <c r="B5" s="6" t="s">
        <v>52</v>
      </c>
      <c r="C5" s="6" t="s">
        <v>53</v>
      </c>
      <c r="D5" s="12" t="s">
        <v>54</v>
      </c>
      <c r="E5" s="6"/>
      <c r="F5" s="12" t="s">
        <v>55</v>
      </c>
    </row>
    <row r="6" customFormat="false" ht="15" hidden="false" customHeight="false" outlineLevel="0" collapsed="false">
      <c r="A6" s="4" t="s">
        <v>11</v>
      </c>
      <c r="B6" s="4" t="s">
        <v>56</v>
      </c>
      <c r="C6" s="4" t="s">
        <v>42</v>
      </c>
      <c r="D6" s="11" t="s">
        <v>57</v>
      </c>
      <c r="E6" s="4"/>
      <c r="F6" s="11" t="s">
        <v>58</v>
      </c>
    </row>
    <row r="7" customFormat="false" ht="15" hidden="false" customHeight="false" outlineLevel="0" collapsed="false">
      <c r="A7" s="6" t="s">
        <v>11</v>
      </c>
      <c r="B7" s="6" t="s">
        <v>59</v>
      </c>
      <c r="C7" s="6" t="s">
        <v>42</v>
      </c>
      <c r="D7" s="12" t="s">
        <v>60</v>
      </c>
      <c r="E7" s="6"/>
      <c r="F7" s="12" t="s">
        <v>61</v>
      </c>
    </row>
    <row r="8" customFormat="false" ht="23.85" hidden="false" customHeight="false" outlineLevel="0" collapsed="false">
      <c r="A8" s="4" t="s">
        <v>11</v>
      </c>
      <c r="B8" s="4" t="s">
        <v>62</v>
      </c>
      <c r="C8" s="4" t="s">
        <v>42</v>
      </c>
      <c r="D8" s="11" t="s">
        <v>63</v>
      </c>
      <c r="E8" s="4"/>
      <c r="F8" s="11" t="s">
        <v>64</v>
      </c>
    </row>
    <row r="9" customFormat="false" ht="15" hidden="false" customHeight="false" outlineLevel="0" collapsed="false">
      <c r="A9" s="6" t="s">
        <v>11</v>
      </c>
      <c r="B9" s="6" t="s">
        <v>65</v>
      </c>
      <c r="C9" s="6" t="s">
        <v>42</v>
      </c>
      <c r="D9" s="12" t="s">
        <v>66</v>
      </c>
      <c r="E9" s="6"/>
      <c r="F9" s="12" t="s">
        <v>67</v>
      </c>
    </row>
    <row r="10" customFormat="false" ht="15" hidden="false" customHeight="false" outlineLevel="0" collapsed="false">
      <c r="A10" s="4" t="s">
        <v>11</v>
      </c>
      <c r="B10" s="4" t="s">
        <v>68</v>
      </c>
      <c r="C10" s="4" t="s">
        <v>69</v>
      </c>
      <c r="D10" s="11" t="s">
        <v>70</v>
      </c>
      <c r="E10" s="4"/>
      <c r="F10" s="11" t="s">
        <v>71</v>
      </c>
    </row>
    <row r="11" customFormat="false" ht="15" hidden="false" customHeight="false" outlineLevel="0" collapsed="false">
      <c r="A11" s="6" t="s">
        <v>11</v>
      </c>
      <c r="B11" s="6" t="s">
        <v>72</v>
      </c>
      <c r="C11" s="6" t="s">
        <v>42</v>
      </c>
      <c r="D11" s="12" t="s">
        <v>73</v>
      </c>
      <c r="E11" s="6"/>
      <c r="F11" s="12" t="s">
        <v>74</v>
      </c>
    </row>
    <row r="12" customFormat="false" ht="23.85" hidden="false" customHeight="false" outlineLevel="0" collapsed="false">
      <c r="A12" s="4" t="s">
        <v>11</v>
      </c>
      <c r="B12" s="4" t="s">
        <v>75</v>
      </c>
      <c r="C12" s="4" t="s">
        <v>42</v>
      </c>
      <c r="D12" s="11" t="s">
        <v>76</v>
      </c>
      <c r="E12" s="4"/>
      <c r="F12" s="11" t="s">
        <v>77</v>
      </c>
    </row>
    <row r="13" customFormat="false" ht="15" hidden="false" customHeight="false" outlineLevel="0" collapsed="false">
      <c r="A13" s="6" t="s">
        <v>15</v>
      </c>
      <c r="B13" s="6" t="s">
        <v>18</v>
      </c>
      <c r="C13" s="6" t="s">
        <v>42</v>
      </c>
      <c r="D13" s="12" t="s">
        <v>78</v>
      </c>
      <c r="E13" s="6" t="s">
        <v>44</v>
      </c>
      <c r="F13" s="12" t="s">
        <v>79</v>
      </c>
    </row>
    <row r="14" customFormat="false" ht="15" hidden="false" customHeight="false" outlineLevel="0" collapsed="false">
      <c r="A14" s="4" t="s">
        <v>15</v>
      </c>
      <c r="B14" s="4" t="s">
        <v>80</v>
      </c>
      <c r="C14" s="4" t="s">
        <v>42</v>
      </c>
      <c r="D14" s="11" t="s">
        <v>81</v>
      </c>
      <c r="E14" s="4"/>
      <c r="F14" s="11" t="s">
        <v>82</v>
      </c>
    </row>
    <row r="15" customFormat="false" ht="23.85" hidden="false" customHeight="false" outlineLevel="0" collapsed="false">
      <c r="A15" s="6" t="s">
        <v>15</v>
      </c>
      <c r="B15" s="6" t="s">
        <v>83</v>
      </c>
      <c r="C15" s="6" t="s">
        <v>42</v>
      </c>
      <c r="D15" s="12" t="s">
        <v>84</v>
      </c>
      <c r="E15" s="6"/>
      <c r="F15" s="12" t="s">
        <v>85</v>
      </c>
    </row>
    <row r="16" customFormat="false" ht="15" hidden="false" customHeight="false" outlineLevel="0" collapsed="false">
      <c r="A16" s="4" t="s">
        <v>15</v>
      </c>
      <c r="B16" s="4" t="s">
        <v>86</v>
      </c>
      <c r="C16" s="4" t="s">
        <v>42</v>
      </c>
      <c r="D16" s="11" t="s">
        <v>87</v>
      </c>
      <c r="E16" s="4"/>
      <c r="F16" s="11" t="s">
        <v>88</v>
      </c>
    </row>
    <row r="17" customFormat="false" ht="15" hidden="false" customHeight="false" outlineLevel="0" collapsed="false">
      <c r="A17" s="6" t="s">
        <v>15</v>
      </c>
      <c r="B17" s="6" t="s">
        <v>89</v>
      </c>
      <c r="C17" s="6" t="s">
        <v>42</v>
      </c>
      <c r="D17" s="12" t="s">
        <v>90</v>
      </c>
      <c r="E17" s="6"/>
      <c r="F17" s="12" t="s">
        <v>91</v>
      </c>
    </row>
    <row r="18" customFormat="false" ht="15" hidden="false" customHeight="false" outlineLevel="0" collapsed="false">
      <c r="A18" s="4" t="s">
        <v>15</v>
      </c>
      <c r="B18" s="4" t="s">
        <v>92</v>
      </c>
      <c r="C18" s="4" t="s">
        <v>93</v>
      </c>
      <c r="D18" s="11" t="s">
        <v>94</v>
      </c>
      <c r="E18" s="4"/>
      <c r="F18" s="11" t="s">
        <v>95</v>
      </c>
    </row>
    <row r="19" customFormat="false" ht="15" hidden="false" customHeight="false" outlineLevel="0" collapsed="false">
      <c r="A19" s="6" t="s">
        <v>15</v>
      </c>
      <c r="B19" s="6" t="s">
        <v>96</v>
      </c>
      <c r="C19" s="6" t="s">
        <v>93</v>
      </c>
      <c r="D19" s="12" t="s">
        <v>97</v>
      </c>
      <c r="E19" s="6"/>
      <c r="F19" s="12" t="s">
        <v>98</v>
      </c>
    </row>
    <row r="20" customFormat="false" ht="15" hidden="false" customHeight="false" outlineLevel="0" collapsed="false">
      <c r="A20" s="4" t="s">
        <v>15</v>
      </c>
      <c r="B20" s="4" t="s">
        <v>99</v>
      </c>
      <c r="C20" s="4" t="s">
        <v>69</v>
      </c>
      <c r="D20" s="11" t="s">
        <v>100</v>
      </c>
      <c r="E20" s="4"/>
      <c r="F20" s="11" t="s">
        <v>101</v>
      </c>
    </row>
    <row r="21" customFormat="false" ht="15" hidden="false" customHeight="false" outlineLevel="0" collapsed="false">
      <c r="A21" s="6" t="s">
        <v>15</v>
      </c>
      <c r="B21" s="6" t="s">
        <v>102</v>
      </c>
      <c r="C21" s="6" t="s">
        <v>103</v>
      </c>
      <c r="D21" s="12" t="s">
        <v>104</v>
      </c>
      <c r="E21" s="6"/>
      <c r="F21" s="12" t="s">
        <v>105</v>
      </c>
    </row>
    <row r="22" customFormat="false" ht="15" hidden="false" customHeight="false" outlineLevel="0" collapsed="false">
      <c r="A22" s="4" t="s">
        <v>19</v>
      </c>
      <c r="B22" s="4" t="s">
        <v>22</v>
      </c>
      <c r="C22" s="4" t="s">
        <v>42</v>
      </c>
      <c r="D22" s="11" t="s">
        <v>106</v>
      </c>
      <c r="E22" s="4" t="s">
        <v>44</v>
      </c>
      <c r="F22" s="11" t="s">
        <v>107</v>
      </c>
    </row>
    <row r="23" customFormat="false" ht="15" hidden="false" customHeight="false" outlineLevel="0" collapsed="false">
      <c r="A23" s="6" t="s">
        <v>19</v>
      </c>
      <c r="B23" s="6" t="s">
        <v>108</v>
      </c>
      <c r="C23" s="6" t="s">
        <v>42</v>
      </c>
      <c r="D23" s="12" t="s">
        <v>109</v>
      </c>
      <c r="E23" s="6"/>
      <c r="F23" s="12"/>
    </row>
    <row r="24" customFormat="false" ht="15" hidden="false" customHeight="false" outlineLevel="0" collapsed="false">
      <c r="A24" s="4" t="s">
        <v>19</v>
      </c>
      <c r="B24" s="4" t="s">
        <v>110</v>
      </c>
      <c r="C24" s="4" t="s">
        <v>42</v>
      </c>
      <c r="D24" s="11" t="s">
        <v>111</v>
      </c>
      <c r="E24" s="4"/>
      <c r="F24" s="11" t="s">
        <v>112</v>
      </c>
    </row>
    <row r="25" customFormat="false" ht="15" hidden="false" customHeight="false" outlineLevel="0" collapsed="false">
      <c r="A25" s="6" t="s">
        <v>19</v>
      </c>
      <c r="B25" s="6" t="s">
        <v>62</v>
      </c>
      <c r="C25" s="6" t="s">
        <v>42</v>
      </c>
      <c r="D25" s="12" t="s">
        <v>113</v>
      </c>
      <c r="E25" s="6"/>
      <c r="F25" s="12" t="s">
        <v>114</v>
      </c>
    </row>
    <row r="26" customFormat="false" ht="15" hidden="false" customHeight="false" outlineLevel="0" collapsed="false">
      <c r="A26" s="4" t="s">
        <v>19</v>
      </c>
      <c r="B26" s="4" t="s">
        <v>65</v>
      </c>
      <c r="C26" s="4" t="s">
        <v>42</v>
      </c>
      <c r="D26" s="11" t="s">
        <v>115</v>
      </c>
      <c r="E26" s="4"/>
      <c r="F26" s="11"/>
    </row>
    <row r="27" customFormat="false" ht="15" hidden="false" customHeight="false" outlineLevel="0" collapsed="false">
      <c r="A27" s="6" t="s">
        <v>19</v>
      </c>
      <c r="B27" s="6" t="s">
        <v>116</v>
      </c>
      <c r="C27" s="6" t="s">
        <v>42</v>
      </c>
      <c r="D27" s="12" t="s">
        <v>117</v>
      </c>
      <c r="E27" s="6"/>
      <c r="F27" s="12" t="s">
        <v>118</v>
      </c>
    </row>
    <row r="28" customFormat="false" ht="15" hidden="false" customHeight="false" outlineLevel="0" collapsed="false">
      <c r="A28" s="4" t="s">
        <v>19</v>
      </c>
      <c r="B28" s="4" t="s">
        <v>119</v>
      </c>
      <c r="C28" s="4" t="s">
        <v>69</v>
      </c>
      <c r="D28" s="11" t="s">
        <v>120</v>
      </c>
      <c r="E28" s="4"/>
      <c r="F28" s="11" t="s">
        <v>121</v>
      </c>
    </row>
    <row r="29" customFormat="false" ht="15" hidden="false" customHeight="false" outlineLevel="0" collapsed="false">
      <c r="A29" s="6" t="s">
        <v>19</v>
      </c>
      <c r="B29" s="6" t="s">
        <v>122</v>
      </c>
      <c r="C29" s="6" t="s">
        <v>53</v>
      </c>
      <c r="D29" s="12" t="s">
        <v>123</v>
      </c>
      <c r="E29" s="6"/>
      <c r="F29" s="12" t="s">
        <v>124</v>
      </c>
    </row>
    <row r="30" customFormat="false" ht="15" hidden="false" customHeight="false" outlineLevel="0" collapsed="false">
      <c r="A30" s="4" t="s">
        <v>19</v>
      </c>
      <c r="B30" s="4" t="s">
        <v>125</v>
      </c>
      <c r="C30" s="4" t="s">
        <v>53</v>
      </c>
      <c r="D30" s="11" t="s">
        <v>126</v>
      </c>
      <c r="E30" s="4"/>
      <c r="F30" s="11" t="s">
        <v>127</v>
      </c>
    </row>
    <row r="31" customFormat="false" ht="15" hidden="false" customHeight="false" outlineLevel="0" collapsed="false">
      <c r="A31" s="6" t="s">
        <v>23</v>
      </c>
      <c r="B31" s="6" t="s">
        <v>26</v>
      </c>
      <c r="C31" s="6" t="s">
        <v>42</v>
      </c>
      <c r="D31" s="12" t="s">
        <v>128</v>
      </c>
      <c r="E31" s="6" t="s">
        <v>44</v>
      </c>
      <c r="F31" s="12" t="s">
        <v>129</v>
      </c>
    </row>
    <row r="32" customFormat="false" ht="15" hidden="false" customHeight="false" outlineLevel="0" collapsed="false">
      <c r="A32" s="4" t="s">
        <v>23</v>
      </c>
      <c r="B32" s="4" t="s">
        <v>130</v>
      </c>
      <c r="C32" s="4" t="s">
        <v>42</v>
      </c>
      <c r="D32" s="11" t="s">
        <v>131</v>
      </c>
      <c r="E32" s="4"/>
      <c r="F32" s="11"/>
    </row>
    <row r="33" customFormat="false" ht="23.85" hidden="false" customHeight="false" outlineLevel="0" collapsed="false">
      <c r="A33" s="6" t="s">
        <v>23</v>
      </c>
      <c r="B33" s="6" t="s">
        <v>132</v>
      </c>
      <c r="C33" s="6" t="s">
        <v>42</v>
      </c>
      <c r="D33" s="12" t="s">
        <v>133</v>
      </c>
      <c r="E33" s="6"/>
      <c r="F33" s="12" t="s">
        <v>134</v>
      </c>
    </row>
    <row r="34" customFormat="false" ht="15" hidden="false" customHeight="false" outlineLevel="0" collapsed="false">
      <c r="A34" s="4" t="s">
        <v>23</v>
      </c>
      <c r="B34" s="4" t="s">
        <v>135</v>
      </c>
      <c r="C34" s="4" t="s">
        <v>69</v>
      </c>
      <c r="D34" s="11" t="s">
        <v>136</v>
      </c>
      <c r="E34" s="4"/>
      <c r="F34" s="11"/>
    </row>
    <row r="35" customFormat="false" ht="15" hidden="false" customHeight="false" outlineLevel="0" collapsed="false">
      <c r="A35" s="6" t="s">
        <v>23</v>
      </c>
      <c r="B35" s="6" t="s">
        <v>137</v>
      </c>
      <c r="C35" s="6" t="s">
        <v>69</v>
      </c>
      <c r="D35" s="12" t="s">
        <v>138</v>
      </c>
      <c r="E35" s="6"/>
      <c r="F35" s="12" t="s">
        <v>139</v>
      </c>
    </row>
    <row r="36" customFormat="false" ht="15" hidden="false" customHeight="false" outlineLevel="0" collapsed="false">
      <c r="A36" s="4" t="s">
        <v>23</v>
      </c>
      <c r="B36" s="4" t="s">
        <v>140</v>
      </c>
      <c r="C36" s="4" t="s">
        <v>93</v>
      </c>
      <c r="D36" s="11" t="s">
        <v>141</v>
      </c>
      <c r="E36" s="4"/>
      <c r="F36" s="11" t="s">
        <v>124</v>
      </c>
    </row>
    <row r="37" customFormat="false" ht="15" hidden="false" customHeight="false" outlineLevel="0" collapsed="false">
      <c r="A37" s="6" t="s">
        <v>23</v>
      </c>
      <c r="B37" s="6" t="s">
        <v>142</v>
      </c>
      <c r="C37" s="6" t="s">
        <v>42</v>
      </c>
      <c r="D37" s="12" t="s">
        <v>143</v>
      </c>
      <c r="E37" s="6"/>
      <c r="F37" s="12" t="s">
        <v>144</v>
      </c>
    </row>
    <row r="38" customFormat="false" ht="15" hidden="false" customHeight="false" outlineLevel="0" collapsed="false">
      <c r="A38" s="4" t="s">
        <v>23</v>
      </c>
      <c r="B38" s="4" t="s">
        <v>145</v>
      </c>
      <c r="C38" s="4" t="s">
        <v>42</v>
      </c>
      <c r="D38" s="11" t="s">
        <v>146</v>
      </c>
      <c r="E38" s="4"/>
      <c r="F38" s="11" t="s">
        <v>147</v>
      </c>
    </row>
    <row r="39" customFormat="false" ht="15" hidden="false" customHeight="false" outlineLevel="0" collapsed="false">
      <c r="A39" s="6" t="s">
        <v>27</v>
      </c>
      <c r="B39" s="6" t="s">
        <v>30</v>
      </c>
      <c r="C39" s="6" t="s">
        <v>42</v>
      </c>
      <c r="D39" s="12" t="s">
        <v>148</v>
      </c>
      <c r="E39" s="6" t="s">
        <v>44</v>
      </c>
      <c r="F39" s="12" t="s">
        <v>149</v>
      </c>
    </row>
    <row r="40" customFormat="false" ht="15" hidden="false" customHeight="false" outlineLevel="0" collapsed="false">
      <c r="A40" s="4" t="s">
        <v>27</v>
      </c>
      <c r="B40" s="4" t="s">
        <v>14</v>
      </c>
      <c r="C40" s="4" t="s">
        <v>42</v>
      </c>
      <c r="D40" s="11" t="s">
        <v>150</v>
      </c>
      <c r="E40" s="4" t="s">
        <v>151</v>
      </c>
      <c r="F40" s="11" t="s">
        <v>152</v>
      </c>
    </row>
    <row r="41" customFormat="false" ht="15" hidden="false" customHeight="false" outlineLevel="0" collapsed="false">
      <c r="A41" s="6" t="s">
        <v>27</v>
      </c>
      <c r="B41" s="6" t="s">
        <v>22</v>
      </c>
      <c r="C41" s="6" t="s">
        <v>42</v>
      </c>
      <c r="D41" s="12" t="s">
        <v>153</v>
      </c>
      <c r="E41" s="6" t="s">
        <v>154</v>
      </c>
      <c r="F41" s="12" t="s">
        <v>155</v>
      </c>
    </row>
    <row r="42" customFormat="false" ht="15" hidden="false" customHeight="false" outlineLevel="0" collapsed="false">
      <c r="A42" s="4" t="s">
        <v>27</v>
      </c>
      <c r="B42" s="4" t="s">
        <v>156</v>
      </c>
      <c r="C42" s="4" t="s">
        <v>69</v>
      </c>
      <c r="D42" s="11" t="s">
        <v>157</v>
      </c>
      <c r="E42" s="4"/>
      <c r="F42" s="11" t="s">
        <v>158</v>
      </c>
    </row>
    <row r="43" customFormat="false" ht="15" hidden="false" customHeight="false" outlineLevel="0" collapsed="false">
      <c r="A43" s="6" t="s">
        <v>27</v>
      </c>
      <c r="B43" s="6" t="s">
        <v>132</v>
      </c>
      <c r="C43" s="6" t="s">
        <v>42</v>
      </c>
      <c r="D43" s="12" t="s">
        <v>159</v>
      </c>
      <c r="E43" s="6"/>
      <c r="F43" s="12" t="s">
        <v>160</v>
      </c>
    </row>
    <row r="44" customFormat="false" ht="15" hidden="false" customHeight="false" outlineLevel="0" collapsed="false">
      <c r="A44" s="4" t="s">
        <v>27</v>
      </c>
      <c r="B44" s="4" t="s">
        <v>161</v>
      </c>
      <c r="C44" s="4" t="s">
        <v>42</v>
      </c>
      <c r="D44" s="11" t="s">
        <v>162</v>
      </c>
      <c r="E44" s="4"/>
      <c r="F44" s="11" t="s">
        <v>163</v>
      </c>
    </row>
    <row r="45" customFormat="false" ht="15" hidden="false" customHeight="false" outlineLevel="0" collapsed="false">
      <c r="A45" s="6" t="s">
        <v>27</v>
      </c>
      <c r="B45" s="6" t="s">
        <v>26</v>
      </c>
      <c r="C45" s="6" t="s">
        <v>42</v>
      </c>
      <c r="D45" s="12" t="s">
        <v>164</v>
      </c>
      <c r="E45" s="6" t="s">
        <v>165</v>
      </c>
      <c r="F45" s="12" t="s">
        <v>166</v>
      </c>
    </row>
    <row r="46" customFormat="false" ht="15" hidden="false" customHeight="false" outlineLevel="0" collapsed="false">
      <c r="A46" s="4" t="s">
        <v>27</v>
      </c>
      <c r="B46" s="4" t="s">
        <v>167</v>
      </c>
      <c r="C46" s="4" t="s">
        <v>42</v>
      </c>
      <c r="D46" s="11" t="s">
        <v>168</v>
      </c>
      <c r="E46" s="4"/>
      <c r="F46" s="11" t="s">
        <v>169</v>
      </c>
    </row>
    <row r="47" customFormat="false" ht="15" hidden="false" customHeight="false" outlineLevel="0" collapsed="false">
      <c r="A47" s="6" t="s">
        <v>27</v>
      </c>
      <c r="B47" s="6" t="s">
        <v>170</v>
      </c>
      <c r="C47" s="6" t="s">
        <v>93</v>
      </c>
      <c r="D47" s="12" t="s">
        <v>171</v>
      </c>
      <c r="E47" s="6"/>
      <c r="F47" s="12" t="s">
        <v>172</v>
      </c>
    </row>
    <row r="48" customFormat="false" ht="15" hidden="false" customHeight="false" outlineLevel="0" collapsed="false">
      <c r="A48" s="4" t="s">
        <v>27</v>
      </c>
      <c r="B48" s="4" t="s">
        <v>173</v>
      </c>
      <c r="C48" s="4" t="s">
        <v>93</v>
      </c>
      <c r="D48" s="11" t="s">
        <v>174</v>
      </c>
      <c r="E48" s="4"/>
      <c r="F48" s="11" t="s">
        <v>175</v>
      </c>
    </row>
    <row r="49" customFormat="false" ht="15" hidden="false" customHeight="false" outlineLevel="0" collapsed="false">
      <c r="A49" s="6" t="s">
        <v>31</v>
      </c>
      <c r="B49" s="6" t="s">
        <v>34</v>
      </c>
      <c r="C49" s="6" t="s">
        <v>42</v>
      </c>
      <c r="D49" s="12" t="s">
        <v>176</v>
      </c>
      <c r="E49" s="6" t="s">
        <v>44</v>
      </c>
      <c r="F49" s="12" t="s">
        <v>177</v>
      </c>
    </row>
    <row r="50" customFormat="false" ht="15" hidden="false" customHeight="false" outlineLevel="0" collapsed="false">
      <c r="A50" s="4" t="s">
        <v>31</v>
      </c>
      <c r="B50" s="4" t="s">
        <v>30</v>
      </c>
      <c r="C50" s="4" t="s">
        <v>42</v>
      </c>
      <c r="D50" s="11" t="s">
        <v>178</v>
      </c>
      <c r="E50" s="4" t="s">
        <v>179</v>
      </c>
      <c r="F50" s="11" t="s">
        <v>180</v>
      </c>
    </row>
    <row r="51" customFormat="false" ht="15" hidden="false" customHeight="false" outlineLevel="0" collapsed="false">
      <c r="A51" s="6" t="s">
        <v>31</v>
      </c>
      <c r="B51" s="6" t="s">
        <v>18</v>
      </c>
      <c r="C51" s="6" t="s">
        <v>42</v>
      </c>
      <c r="D51" s="12" t="s">
        <v>181</v>
      </c>
      <c r="E51" s="6" t="s">
        <v>182</v>
      </c>
      <c r="F51" s="12" t="s">
        <v>183</v>
      </c>
    </row>
    <row r="52" customFormat="false" ht="15" hidden="false" customHeight="false" outlineLevel="0" collapsed="false">
      <c r="A52" s="4" t="s">
        <v>31</v>
      </c>
      <c r="B52" s="4" t="s">
        <v>184</v>
      </c>
      <c r="C52" s="4" t="s">
        <v>53</v>
      </c>
      <c r="D52" s="11" t="s">
        <v>185</v>
      </c>
      <c r="E52" s="4"/>
      <c r="F52" s="11" t="s">
        <v>186</v>
      </c>
    </row>
    <row r="53" customFormat="false" ht="15" hidden="false" customHeight="false" outlineLevel="0" collapsed="false">
      <c r="A53" s="6" t="s">
        <v>31</v>
      </c>
      <c r="B53" s="6" t="s">
        <v>187</v>
      </c>
      <c r="C53" s="6" t="s">
        <v>93</v>
      </c>
      <c r="D53" s="12" t="s">
        <v>188</v>
      </c>
      <c r="E53" s="6"/>
      <c r="F53" s="12" t="s">
        <v>124</v>
      </c>
    </row>
    <row r="54" customFormat="false" ht="15" hidden="false" customHeight="false" outlineLevel="0" collapsed="false">
      <c r="A54" s="4" t="s">
        <v>31</v>
      </c>
      <c r="B54" s="4" t="s">
        <v>189</v>
      </c>
      <c r="C54" s="4" t="s">
        <v>190</v>
      </c>
      <c r="D54" s="11" t="s">
        <v>191</v>
      </c>
      <c r="E54" s="4"/>
      <c r="F54" s="11" t="s">
        <v>192</v>
      </c>
    </row>
    <row r="55" customFormat="false" ht="15" hidden="false" customHeight="false" outlineLevel="0" collapsed="false">
      <c r="A55" s="6" t="s">
        <v>31</v>
      </c>
      <c r="B55" s="6" t="s">
        <v>193</v>
      </c>
      <c r="C55" s="6" t="s">
        <v>93</v>
      </c>
      <c r="D55" s="12" t="s">
        <v>194</v>
      </c>
      <c r="E55" s="6"/>
      <c r="F55" s="12" t="s">
        <v>195</v>
      </c>
    </row>
  </sheetData>
  <autoFilter ref="A1:F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3" t="s">
        <v>196</v>
      </c>
      <c r="B1" s="3" t="s">
        <v>197</v>
      </c>
      <c r="C1" s="3" t="s">
        <v>198</v>
      </c>
      <c r="D1" s="3" t="s">
        <v>199</v>
      </c>
    </row>
    <row r="2" customFormat="false" ht="15" hidden="false" customHeight="false" outlineLevel="0" collapsed="false">
      <c r="A2" s="4" t="s">
        <v>11</v>
      </c>
      <c r="B2" s="4" t="s">
        <v>27</v>
      </c>
      <c r="C2" s="4" t="s">
        <v>14</v>
      </c>
      <c r="D2" s="11" t="s">
        <v>200</v>
      </c>
    </row>
    <row r="3" customFormat="false" ht="15" hidden="false" customHeight="false" outlineLevel="0" collapsed="false">
      <c r="A3" s="6" t="s">
        <v>19</v>
      </c>
      <c r="B3" s="6" t="s">
        <v>27</v>
      </c>
      <c r="C3" s="6" t="s">
        <v>22</v>
      </c>
      <c r="D3" s="12" t="s">
        <v>201</v>
      </c>
    </row>
    <row r="4" customFormat="false" ht="15" hidden="false" customHeight="false" outlineLevel="0" collapsed="false">
      <c r="A4" s="4" t="s">
        <v>23</v>
      </c>
      <c r="B4" s="4" t="s">
        <v>27</v>
      </c>
      <c r="C4" s="4" t="s">
        <v>26</v>
      </c>
      <c r="D4" s="11" t="s">
        <v>202</v>
      </c>
    </row>
    <row r="5" customFormat="false" ht="15" hidden="false" customHeight="false" outlineLevel="0" collapsed="false">
      <c r="A5" s="6" t="s">
        <v>27</v>
      </c>
      <c r="B5" s="6" t="s">
        <v>31</v>
      </c>
      <c r="C5" s="6" t="s">
        <v>30</v>
      </c>
      <c r="D5" s="12" t="s">
        <v>203</v>
      </c>
    </row>
    <row r="6" customFormat="false" ht="15" hidden="false" customHeight="false" outlineLevel="0" collapsed="false">
      <c r="A6" s="4" t="s">
        <v>15</v>
      </c>
      <c r="B6" s="4" t="s">
        <v>31</v>
      </c>
      <c r="C6" s="4" t="s">
        <v>18</v>
      </c>
      <c r="D6" s="11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3" t="s">
        <v>205</v>
      </c>
    </row>
    <row r="2" customFormat="false" ht="15" hidden="false" customHeight="false" outlineLevel="0" collapsed="false">
      <c r="A2" s="10" t="s">
        <v>206</v>
      </c>
    </row>
    <row r="4" customFormat="false" ht="15" hidden="false" customHeight="false" outlineLevel="0" collapsed="false">
      <c r="A4" s="3" t="s">
        <v>207</v>
      </c>
      <c r="B4" s="3" t="s">
        <v>11</v>
      </c>
      <c r="C4" s="3" t="s">
        <v>15</v>
      </c>
      <c r="D4" s="3" t="s">
        <v>19</v>
      </c>
      <c r="E4" s="3" t="s">
        <v>23</v>
      </c>
      <c r="F4" s="3" t="s">
        <v>27</v>
      </c>
      <c r="G4" s="3" t="s">
        <v>31</v>
      </c>
      <c r="H4" s="3" t="s">
        <v>208</v>
      </c>
    </row>
    <row r="5" customFormat="false" ht="15" hidden="false" customHeight="false" outlineLevel="0" collapsed="false">
      <c r="A5" s="4" t="s">
        <v>209</v>
      </c>
      <c r="B5" s="5" t="n">
        <v>1800</v>
      </c>
      <c r="C5" s="5" t="n">
        <v>324</v>
      </c>
      <c r="D5" s="5" t="n">
        <v>11</v>
      </c>
      <c r="E5" s="5" t="n">
        <v>15</v>
      </c>
      <c r="F5" s="5" t="n">
        <v>7615</v>
      </c>
      <c r="G5" s="5" t="n">
        <v>30</v>
      </c>
      <c r="H5" s="5" t="n">
        <f aca="false">SUM(B5:G5)</f>
        <v>9795</v>
      </c>
    </row>
    <row r="6" customFormat="false" ht="15" hidden="false" customHeight="false" outlineLevel="0" collapsed="false">
      <c r="A6" s="6" t="s">
        <v>210</v>
      </c>
      <c r="B6" s="7" t="n">
        <v>25</v>
      </c>
      <c r="C6" s="7" t="n">
        <v>63</v>
      </c>
      <c r="D6" s="7" t="n">
        <v>3</v>
      </c>
      <c r="E6" s="7" t="n">
        <v>6</v>
      </c>
      <c r="F6" s="7" t="n">
        <v>895</v>
      </c>
      <c r="G6" s="7" t="n">
        <v>3391</v>
      </c>
      <c r="H6" s="7" t="n">
        <f aca="false">SUM(B6:G6)</f>
        <v>4383</v>
      </c>
    </row>
    <row r="7" customFormat="false" ht="15" hidden="false" customHeight="false" outlineLevel="0" collapsed="false">
      <c r="A7" s="4" t="s">
        <v>211</v>
      </c>
      <c r="B7" s="5" t="n">
        <v>600</v>
      </c>
      <c r="C7" s="5" t="n">
        <v>87</v>
      </c>
      <c r="D7" s="5" t="n">
        <v>8</v>
      </c>
      <c r="E7" s="5" t="n">
        <v>8</v>
      </c>
      <c r="F7" s="5" t="n">
        <v>2386</v>
      </c>
      <c r="G7" s="5" t="n">
        <v>0</v>
      </c>
      <c r="H7" s="5" t="n">
        <f aca="false">SUM(B7:G7)</f>
        <v>3089</v>
      </c>
    </row>
    <row r="8" customFormat="false" ht="15" hidden="false" customHeight="false" outlineLevel="0" collapsed="false">
      <c r="A8" s="6" t="s">
        <v>212</v>
      </c>
      <c r="B8" s="7" t="n">
        <v>610</v>
      </c>
      <c r="C8" s="7" t="n">
        <v>48</v>
      </c>
      <c r="D8" s="7" t="n">
        <v>6</v>
      </c>
      <c r="E8" s="7" t="n">
        <v>5</v>
      </c>
      <c r="F8" s="7" t="n">
        <v>877</v>
      </c>
      <c r="G8" s="7" t="n">
        <v>1309</v>
      </c>
      <c r="H8" s="7" t="n">
        <f aca="false">SUM(B8:G8)</f>
        <v>2855</v>
      </c>
    </row>
    <row r="9" customFormat="false" ht="15" hidden="false" customHeight="false" outlineLevel="0" collapsed="false">
      <c r="A9" s="4" t="s">
        <v>213</v>
      </c>
      <c r="B9" s="5" t="n">
        <v>300</v>
      </c>
      <c r="C9" s="5" t="n">
        <v>0</v>
      </c>
      <c r="D9" s="5" t="n">
        <v>0</v>
      </c>
      <c r="E9" s="5" t="n">
        <v>0</v>
      </c>
      <c r="F9" s="5" t="n">
        <v>300</v>
      </c>
      <c r="G9" s="5" t="n">
        <v>1526</v>
      </c>
      <c r="H9" s="5" t="n">
        <f aca="false">SUM(B9:G9)</f>
        <v>2126</v>
      </c>
    </row>
    <row r="10" customFormat="false" ht="15" hidden="false" customHeight="false" outlineLevel="0" collapsed="false">
      <c r="A10" s="6" t="s">
        <v>214</v>
      </c>
      <c r="B10" s="7" t="n">
        <v>70</v>
      </c>
      <c r="C10" s="7" t="n">
        <v>15</v>
      </c>
      <c r="D10" s="7" t="n">
        <v>2</v>
      </c>
      <c r="E10" s="7" t="n">
        <v>2</v>
      </c>
      <c r="F10" s="7" t="n">
        <v>140</v>
      </c>
      <c r="G10" s="7" t="n">
        <v>220</v>
      </c>
      <c r="H10" s="7" t="n">
        <f aca="false">SUM(B10:G10)</f>
        <v>449</v>
      </c>
    </row>
    <row r="11" customFormat="false" ht="15" hidden="false" customHeight="false" outlineLevel="0" collapsed="false">
      <c r="A11" s="4" t="s">
        <v>215</v>
      </c>
      <c r="B11" s="5" t="n">
        <v>73</v>
      </c>
      <c r="C11" s="5" t="n">
        <v>13</v>
      </c>
      <c r="D11" s="5" t="n">
        <v>2</v>
      </c>
      <c r="E11" s="5" t="n">
        <v>2</v>
      </c>
      <c r="F11" s="5" t="n">
        <v>47</v>
      </c>
      <c r="G11" s="5" t="n">
        <v>48</v>
      </c>
      <c r="H11" s="5" t="n">
        <f aca="false">SUM(B11:G11)</f>
        <v>185</v>
      </c>
    </row>
    <row r="12" customFormat="false" ht="15" hidden="false" customHeight="false" outlineLevel="0" collapsed="false">
      <c r="A12" s="6" t="s">
        <v>216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50</v>
      </c>
      <c r="G12" s="7" t="n">
        <v>40</v>
      </c>
      <c r="H12" s="7" t="n">
        <f aca="false">SUM(B12:G12)</f>
        <v>90</v>
      </c>
    </row>
    <row r="13" customFormat="false" ht="15" hidden="false" customHeight="false" outlineLevel="0" collapsed="false">
      <c r="A13" s="4" t="s">
        <v>217</v>
      </c>
      <c r="B13" s="5" t="n">
        <v>0</v>
      </c>
      <c r="C13" s="5" t="n">
        <v>12</v>
      </c>
      <c r="D13" s="5" t="n">
        <v>1</v>
      </c>
      <c r="E13" s="5" t="n">
        <v>1</v>
      </c>
      <c r="F13" s="5" t="n">
        <v>15</v>
      </c>
      <c r="G13" s="5" t="n">
        <v>27</v>
      </c>
      <c r="H13" s="5" t="n">
        <f aca="false">SUM(B13:G13)</f>
        <v>56</v>
      </c>
    </row>
    <row r="14" customFormat="false" ht="15" hidden="false" customHeight="false" outlineLevel="0" collapsed="false">
      <c r="A14" s="6" t="s">
        <v>218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40</v>
      </c>
      <c r="H14" s="7" t="n">
        <f aca="false">SUM(B14:G14)</f>
        <v>40</v>
      </c>
    </row>
    <row r="15" customFormat="false" ht="15" hidden="false" customHeight="false" outlineLevel="0" collapsed="false">
      <c r="A15" s="14" t="s">
        <v>208</v>
      </c>
      <c r="B15" s="15" t="n">
        <f aca="false">SUM(B5:B14)</f>
        <v>3478</v>
      </c>
      <c r="C15" s="15" t="n">
        <f aca="false">SUM(C5:C14)</f>
        <v>562</v>
      </c>
      <c r="D15" s="15" t="n">
        <f aca="false">SUM(D5:D14)</f>
        <v>33</v>
      </c>
      <c r="E15" s="15" t="n">
        <f aca="false">SUM(E5:E14)</f>
        <v>39</v>
      </c>
      <c r="F15" s="15" t="n">
        <f aca="false">SUM(F5:F14)</f>
        <v>12325</v>
      </c>
      <c r="G15" s="15" t="n">
        <f aca="false">SUM(G5:G14)</f>
        <v>6631</v>
      </c>
      <c r="H15" s="15" t="n">
        <f aca="false">SUM(H5:H14)</f>
        <v>23068</v>
      </c>
    </row>
    <row r="17" customFormat="false" ht="15" hidden="false" customHeight="false" outlineLevel="0" collapsed="false">
      <c r="A17" s="8" t="s">
        <v>219</v>
      </c>
    </row>
    <row r="18" customFormat="false" ht="15" hidden="false" customHeight="false" outlineLevel="0" collapsed="false">
      <c r="A18" s="8" t="s">
        <v>212</v>
      </c>
      <c r="B18" s="2" t="s">
        <v>220</v>
      </c>
    </row>
    <row r="19" customFormat="false" ht="15" hidden="false" customHeight="false" outlineLevel="0" collapsed="false">
      <c r="A19" s="8" t="s">
        <v>214</v>
      </c>
      <c r="B19" s="2" t="s">
        <v>221</v>
      </c>
    </row>
    <row r="20" customFormat="false" ht="15" hidden="false" customHeight="false" outlineLevel="0" collapsed="false">
      <c r="A20" s="8" t="s">
        <v>209</v>
      </c>
      <c r="B20" s="2" t="s">
        <v>222</v>
      </c>
    </row>
    <row r="21" customFormat="false" ht="15" hidden="false" customHeight="false" outlineLevel="0" collapsed="false">
      <c r="A21" s="8" t="s">
        <v>213</v>
      </c>
      <c r="B21" s="2" t="s">
        <v>223</v>
      </c>
    </row>
    <row r="22" customFormat="false" ht="15" hidden="false" customHeight="false" outlineLevel="0" collapsed="false">
      <c r="A22" s="8" t="s">
        <v>211</v>
      </c>
      <c r="B22" s="2" t="s">
        <v>224</v>
      </c>
    </row>
    <row r="23" customFormat="false" ht="15" hidden="false" customHeight="false" outlineLevel="0" collapsed="false">
      <c r="A23" s="8" t="s">
        <v>210</v>
      </c>
      <c r="B23" s="2" t="s">
        <v>225</v>
      </c>
    </row>
    <row r="24" customFormat="false" ht="15" hidden="false" customHeight="false" outlineLevel="0" collapsed="false">
      <c r="A24" s="8" t="s">
        <v>215</v>
      </c>
      <c r="B24" s="2" t="s">
        <v>226</v>
      </c>
    </row>
    <row r="25" customFormat="false" ht="15" hidden="false" customHeight="false" outlineLevel="0" collapsed="false">
      <c r="A25" s="8" t="s">
        <v>217</v>
      </c>
      <c r="B25" s="2" t="s">
        <v>227</v>
      </c>
    </row>
    <row r="26" customFormat="false" ht="15" hidden="false" customHeight="false" outlineLevel="0" collapsed="false">
      <c r="A26" s="8" t="s">
        <v>216</v>
      </c>
      <c r="B26" s="2" t="s">
        <v>228</v>
      </c>
    </row>
    <row r="27" customFormat="false" ht="15" hidden="false" customHeight="false" outlineLevel="0" collapsed="false">
      <c r="A27" s="8" t="s">
        <v>218</v>
      </c>
      <c r="B27" s="2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2026-10-18T16:08:42Z</dcterms:created>
  <dc:creator>openpyxl</dc:creator>
  <dc:description/>
  <dc:language>en-US</dc:language>
  <cp:lastModifiedBy/>
  <dcterms:modified xsi:type="dcterms:W3CDTF">2026-10-18T16:08:42Z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